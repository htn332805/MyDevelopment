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Whoever\Documents\"/>
    </mc:Choice>
  </mc:AlternateContent>
  <bookViews>
    <workbookView xWindow="0" yWindow="0" windowWidth="28800" windowHeight="12330"/>
  </bookViews>
  <sheets>
    <sheet name="ss" sheetId="1" r:id="rId1"/>
  </sheets>
  <calcPr calcId="0"/>
</workbook>
</file>

<file path=xl/calcChain.xml><?xml version="1.0" encoding="utf-8"?>
<calcChain xmlns="http://schemas.openxmlformats.org/spreadsheetml/2006/main">
  <c r="Q74" i="1" l="1"/>
  <c r="R74" i="1"/>
  <c r="P74" i="1"/>
  <c r="P87" i="1"/>
  <c r="Q87" i="1"/>
  <c r="R87" i="1"/>
  <c r="R77" i="1"/>
  <c r="Q77" i="1"/>
  <c r="P77" i="1"/>
  <c r="O79" i="1"/>
  <c r="O80" i="1"/>
  <c r="O81" i="1"/>
  <c r="O82" i="1"/>
  <c r="O83" i="1"/>
  <c r="O84" i="1"/>
  <c r="O85" i="1"/>
  <c r="O86" i="1"/>
  <c r="O78" i="1"/>
</calcChain>
</file>

<file path=xl/sharedStrings.xml><?xml version="1.0" encoding="utf-8"?>
<sst xmlns="http://schemas.openxmlformats.org/spreadsheetml/2006/main" count="363" uniqueCount="162">
  <si>
    <t>Account Statement for &lt;TOTAL&gt;SCHW (ALL ACCOUNTS) since 9/22/25 through 9/22/25</t>
  </si>
  <si>
    <t>Cash Balance</t>
  </si>
  <si>
    <t>DATE</t>
  </si>
  <si>
    <t>TIME</t>
  </si>
  <si>
    <t>TYPE</t>
  </si>
  <si>
    <t>REF #</t>
  </si>
  <si>
    <t>DESCRIPTION</t>
  </si>
  <si>
    <t>Misc Fees</t>
  </si>
  <si>
    <t>Commissions &amp; Fees</t>
  </si>
  <si>
    <t>AMOUNT</t>
  </si>
  <si>
    <t>BALANCE</t>
  </si>
  <si>
    <t>TOTAL</t>
  </si>
  <si>
    <t>Futures Statements</t>
  </si>
  <si>
    <t>Trade Date</t>
  </si>
  <si>
    <t>Exec Date</t>
  </si>
  <si>
    <t>Exec Time</t>
  </si>
  <si>
    <t>Type</t>
  </si>
  <si>
    <t>Ref #</t>
  </si>
  <si>
    <t>Description</t>
  </si>
  <si>
    <t>Amount</t>
  </si>
  <si>
    <t>Balance</t>
  </si>
  <si>
    <t>Forex Statements</t>
  </si>
  <si>
    <t>Date</t>
  </si>
  <si>
    <t>Time</t>
  </si>
  <si>
    <t>Amount(USD)</t>
  </si>
  <si>
    <t>Crypto (Schwab Digital Assets) Statements</t>
  </si>
  <si>
    <t xml:space="preserve"> </t>
  </si>
  <si>
    <t>Total Cash $56,567.46</t>
  </si>
  <si>
    <t>Account Order History filtered by BMNR</t>
  </si>
  <si>
    <t>Notes</t>
  </si>
  <si>
    <t>Time Placed</t>
  </si>
  <si>
    <t>Spread</t>
  </si>
  <si>
    <t>Side</t>
  </si>
  <si>
    <t>Qty</t>
  </si>
  <si>
    <t>Pos Effect</t>
  </si>
  <si>
    <t>Symbol</t>
  </si>
  <si>
    <t>Exp</t>
  </si>
  <si>
    <t>Strike</t>
  </si>
  <si>
    <t>PRICE</t>
  </si>
  <si>
    <t>TIF</t>
  </si>
  <si>
    <t>Status</t>
  </si>
  <si>
    <t>Account Trade History filtered by BMNR</t>
  </si>
  <si>
    <t>Price</t>
  </si>
  <si>
    <t>Net Price</t>
  </si>
  <si>
    <t>Order Type</t>
  </si>
  <si>
    <t>Equities</t>
  </si>
  <si>
    <t>Trade Price</t>
  </si>
  <si>
    <t>Mark</t>
  </si>
  <si>
    <t>Mark Value</t>
  </si>
  <si>
    <t>SHOT</t>
  </si>
  <si>
    <t>SAFETY SHOT INC</t>
  </si>
  <si>
    <t>AIRE</t>
  </si>
  <si>
    <t>REALPHA TECH CORP</t>
  </si>
  <si>
    <t>NVGS</t>
  </si>
  <si>
    <t>NAVIGATOR HLDGS LTD</t>
  </si>
  <si>
    <t>KELYA</t>
  </si>
  <si>
    <t>KELLY SVCS INC A</t>
  </si>
  <si>
    <t>VFC</t>
  </si>
  <si>
    <t>V F CORP</t>
  </si>
  <si>
    <t>HRL</t>
  </si>
  <si>
    <t>HORMEL FOODS CORP</t>
  </si>
  <si>
    <t>INTC</t>
  </si>
  <si>
    <t>INTEL CORP</t>
  </si>
  <si>
    <t>LEG</t>
  </si>
  <si>
    <t>LEGGETT &amp; PLATT INC</t>
  </si>
  <si>
    <t>AMD</t>
  </si>
  <si>
    <t>ADVANCED MICRO DEVIC</t>
  </si>
  <si>
    <t>ABBV</t>
  </si>
  <si>
    <t>ABBVIE INC</t>
  </si>
  <si>
    <t>SPY</t>
  </si>
  <si>
    <t>SPDR S&amp;P 500 ETF</t>
  </si>
  <si>
    <t>ADM</t>
  </si>
  <si>
    <t>ARCHER-DANIELS MIDLA</t>
  </si>
  <si>
    <t>MMM</t>
  </si>
  <si>
    <t>3M CO</t>
  </si>
  <si>
    <t>UNH</t>
  </si>
  <si>
    <t>UNITEDHEALTH GROUP I</t>
  </si>
  <si>
    <t>TSLA</t>
  </si>
  <si>
    <t>TESLA INC</t>
  </si>
  <si>
    <t>PAAS</t>
  </si>
  <si>
    <t>PAN AMERN SILVER COR</t>
  </si>
  <si>
    <t>VICI</t>
  </si>
  <si>
    <t>VICI PPTYS INC REIT</t>
  </si>
  <si>
    <t>AAPL</t>
  </si>
  <si>
    <t>APPLE INC</t>
  </si>
  <si>
    <t>ADP</t>
  </si>
  <si>
    <t>AUTOMATIC DATA PROCE</t>
  </si>
  <si>
    <t>DIS</t>
  </si>
  <si>
    <t>DISNEY WALT CO</t>
  </si>
  <si>
    <t>CNXC</t>
  </si>
  <si>
    <t>CONCENTRIX</t>
  </si>
  <si>
    <t>HTZWW</t>
  </si>
  <si>
    <t>HERTZ GLOBAL HLDGS I Warrant 06/30/2051</t>
  </si>
  <si>
    <t>XIFR</t>
  </si>
  <si>
    <t>XPLR INFRASTRUCTURE</t>
  </si>
  <si>
    <t>SOLV</t>
  </si>
  <si>
    <t>SOLVENTUM CORP</t>
  </si>
  <si>
    <t>TR</t>
  </si>
  <si>
    <t>TOOTSIE ROLL INDS IN</t>
  </si>
  <si>
    <t>GPC</t>
  </si>
  <si>
    <t>GENUINE PARTS CO</t>
  </si>
  <si>
    <t>COST</t>
  </si>
  <si>
    <t>COSTCO WHSL CORP NEW</t>
  </si>
  <si>
    <t>DJT</t>
  </si>
  <si>
    <t>TRUMP MEDIA &amp; TECHNO</t>
  </si>
  <si>
    <t>NVDA</t>
  </si>
  <si>
    <t>NVIDIA CORP</t>
  </si>
  <si>
    <t>T</t>
  </si>
  <si>
    <t>AT&amp;T INC</t>
  </si>
  <si>
    <t>SYY</t>
  </si>
  <si>
    <t>SYSCO CORP</t>
  </si>
  <si>
    <t>HVT</t>
  </si>
  <si>
    <t>HAVERTY FURNITURE CO</t>
  </si>
  <si>
    <t>MSFT</t>
  </si>
  <si>
    <t>MICROSOFT CORP</t>
  </si>
  <si>
    <t>HTZ</t>
  </si>
  <si>
    <t>HERTZ GLOBAL HLDGS I</t>
  </si>
  <si>
    <t>OVERALL TOTALS</t>
  </si>
  <si>
    <t>Options</t>
  </si>
  <si>
    <t>P/L Open</t>
  </si>
  <si>
    <t>P/L Day</t>
  </si>
  <si>
    <t>P/L %</t>
  </si>
  <si>
    <t>Account Name</t>
  </si>
  <si>
    <t>Option Code</t>
  </si>
  <si>
    <t>BMNR</t>
  </si>
  <si>
    <t>PUT</t>
  </si>
  <si>
    <t>HaiIRA</t>
  </si>
  <si>
    <t>BMNR251003P51</t>
  </si>
  <si>
    <t>BMNR251010P50</t>
  </si>
  <si>
    <t>BMNR251024P48</t>
  </si>
  <si>
    <t>BMNR251031P50</t>
  </si>
  <si>
    <t>CRCL</t>
  </si>
  <si>
    <t>HaiIndividual</t>
  </si>
  <si>
    <t>CRCL251017P105</t>
  </si>
  <si>
    <t>BMNR251017P50</t>
  </si>
  <si>
    <t>VFC251017P15</t>
  </si>
  <si>
    <t>CALL</t>
  </si>
  <si>
    <t>VFC251024C16</t>
  </si>
  <si>
    <t>HaiRoth</t>
  </si>
  <si>
    <t>AMD250926P165</t>
  </si>
  <si>
    <t>Others</t>
  </si>
  <si>
    <t>79730CHX5</t>
  </si>
  <si>
    <t>SAN DIEGO CALIF PUB REV 5% 08/01/2035 Callable</t>
  </si>
  <si>
    <t>Profits and Losses</t>
  </si>
  <si>
    <t>P/L YTD</t>
  </si>
  <si>
    <t>P/L Diff</t>
  </si>
  <si>
    <t>BITMINE IMMERSION TE</t>
  </si>
  <si>
    <t>CVX</t>
  </si>
  <si>
    <t>CHEVRON CORP NEW</t>
  </si>
  <si>
    <t>CIRCLE INTERNET GROU A</t>
  </si>
  <si>
    <t>AFL</t>
  </si>
  <si>
    <t>AFLAC INC</t>
  </si>
  <si>
    <t>Account Summary</t>
  </si>
  <si>
    <t>Net Liquidating Value</t>
  </si>
  <si>
    <t>Stock Buying Power</t>
  </si>
  <si>
    <t>Option Buying Power</t>
  </si>
  <si>
    <t>Equity Commissions &amp; Fees YTD</t>
  </si>
  <si>
    <t>Futures Commissions &amp; Fees YTD</t>
  </si>
  <si>
    <t>Total Commissions &amp; Fees YTD</t>
  </si>
  <si>
    <t>ROTH</t>
  </si>
  <si>
    <t>IRA</t>
  </si>
  <si>
    <t>Individual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</si>
</sst>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8" fontId="0" fillId="0" borderId="0" xfId="0" applyNumberFormat="1"/>
    <xf numFmtId="15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59"/>
  <sheetViews>
    <sheetView tabSelected="1" topLeftCell="A61" workbookViewId="0">
      <selection activeCell="V87" sqref="V87"/>
    </sheetView>
  </sheetViews>
  <sheetFormatPr defaultRowHeight="15" x14ac:dyDescent="0.25"/>
  <sheetData>
    <row r="1" spans="1:10" x14ac:dyDescent="0.25">
      <c r="A1" t="s">
        <v>0</v>
      </c>
    </row>
    <row r="3" spans="1:10" x14ac:dyDescent="0.25">
      <c r="A3" t="s">
        <v>1</v>
      </c>
    </row>
    <row r="4" spans="1:10" x14ac:dyDescent="0.25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</row>
    <row r="5" spans="1:10" x14ac:dyDescent="0.25">
      <c r="E5" t="s">
        <v>11</v>
      </c>
    </row>
    <row r="7" spans="1:10" x14ac:dyDescent="0.25">
      <c r="A7" t="s">
        <v>12</v>
      </c>
    </row>
    <row r="8" spans="1:10" x14ac:dyDescent="0.25">
      <c r="A8" t="s">
        <v>13</v>
      </c>
      <c r="B8" t="s">
        <v>14</v>
      </c>
      <c r="C8" t="s">
        <v>15</v>
      </c>
      <c r="D8" t="s">
        <v>16</v>
      </c>
      <c r="E8" t="s">
        <v>17</v>
      </c>
      <c r="F8" t="s">
        <v>18</v>
      </c>
      <c r="G8" t="s">
        <v>7</v>
      </c>
      <c r="H8" t="s">
        <v>8</v>
      </c>
      <c r="I8" t="s">
        <v>19</v>
      </c>
      <c r="J8" t="s">
        <v>20</v>
      </c>
    </row>
    <row r="10" spans="1:10" x14ac:dyDescent="0.25">
      <c r="A10" t="s">
        <v>21</v>
      </c>
    </row>
    <row r="11" spans="1:10" x14ac:dyDescent="0.25">
      <c r="B11" t="s">
        <v>22</v>
      </c>
      <c r="C11" t="s">
        <v>23</v>
      </c>
      <c r="D11" t="s">
        <v>16</v>
      </c>
      <c r="E11" t="s">
        <v>17</v>
      </c>
      <c r="F11" t="s">
        <v>18</v>
      </c>
      <c r="G11" t="s">
        <v>8</v>
      </c>
      <c r="H11" t="s">
        <v>19</v>
      </c>
      <c r="I11" t="s">
        <v>24</v>
      </c>
      <c r="J11" t="s">
        <v>20</v>
      </c>
    </row>
    <row r="13" spans="1:10" x14ac:dyDescent="0.25">
      <c r="A13" t="s">
        <v>25</v>
      </c>
    </row>
    <row r="14" spans="1:10" x14ac:dyDescent="0.25">
      <c r="A14" t="s">
        <v>13</v>
      </c>
      <c r="B14" t="s">
        <v>14</v>
      </c>
      <c r="C14" t="s">
        <v>15</v>
      </c>
      <c r="D14" t="s">
        <v>16</v>
      </c>
      <c r="E14" t="s">
        <v>17</v>
      </c>
      <c r="F14" t="s">
        <v>18</v>
      </c>
      <c r="G14" t="s">
        <v>8</v>
      </c>
      <c r="H14" t="s">
        <v>19</v>
      </c>
      <c r="I14" t="s">
        <v>20</v>
      </c>
    </row>
    <row r="16" spans="1:10" x14ac:dyDescent="0.25">
      <c r="A16" t="s">
        <v>26</v>
      </c>
    </row>
    <row r="17" spans="1:15" x14ac:dyDescent="0.25">
      <c r="A17" t="s">
        <v>27</v>
      </c>
    </row>
    <row r="20" spans="1:15" x14ac:dyDescent="0.25">
      <c r="A20" t="s">
        <v>28</v>
      </c>
    </row>
    <row r="21" spans="1:15" x14ac:dyDescent="0.25">
      <c r="A21" t="s">
        <v>29</v>
      </c>
      <c r="C21" t="s">
        <v>30</v>
      </c>
      <c r="D21" t="s">
        <v>31</v>
      </c>
      <c r="E21" t="s">
        <v>32</v>
      </c>
      <c r="F21" t="s">
        <v>33</v>
      </c>
      <c r="G21" t="s">
        <v>34</v>
      </c>
      <c r="H21" t="s">
        <v>35</v>
      </c>
      <c r="I21" t="s">
        <v>36</v>
      </c>
      <c r="J21" t="s">
        <v>37</v>
      </c>
      <c r="K21" t="s">
        <v>16</v>
      </c>
      <c r="L21" t="s">
        <v>38</v>
      </c>
      <c r="N21" t="s">
        <v>39</v>
      </c>
      <c r="O21" t="s">
        <v>40</v>
      </c>
    </row>
    <row r="23" spans="1:15" x14ac:dyDescent="0.25">
      <c r="A23" t="s">
        <v>41</v>
      </c>
    </row>
    <row r="24" spans="1:15" x14ac:dyDescent="0.25">
      <c r="B24" t="s">
        <v>15</v>
      </c>
      <c r="C24" t="s">
        <v>31</v>
      </c>
      <c r="D24" t="s">
        <v>32</v>
      </c>
      <c r="E24" t="s">
        <v>33</v>
      </c>
      <c r="F24" t="s">
        <v>34</v>
      </c>
      <c r="G24" t="s">
        <v>35</v>
      </c>
      <c r="H24" t="s">
        <v>36</v>
      </c>
      <c r="I24" t="s">
        <v>37</v>
      </c>
      <c r="J24" t="s">
        <v>16</v>
      </c>
      <c r="K24" t="s">
        <v>42</v>
      </c>
      <c r="L24" t="s">
        <v>43</v>
      </c>
      <c r="M24" t="s">
        <v>44</v>
      </c>
    </row>
    <row r="26" spans="1:15" x14ac:dyDescent="0.25">
      <c r="A26" t="s">
        <v>45</v>
      </c>
    </row>
    <row r="27" spans="1:15" x14ac:dyDescent="0.25">
      <c r="A27" t="s">
        <v>35</v>
      </c>
      <c r="B27" t="s">
        <v>18</v>
      </c>
      <c r="C27" t="s">
        <v>33</v>
      </c>
      <c r="D27" t="s">
        <v>46</v>
      </c>
      <c r="E27" t="s">
        <v>47</v>
      </c>
      <c r="F27" t="s">
        <v>48</v>
      </c>
    </row>
    <row r="28" spans="1:15" x14ac:dyDescent="0.25">
      <c r="A28" t="s">
        <v>49</v>
      </c>
      <c r="B28" t="s">
        <v>50</v>
      </c>
      <c r="C28">
        <v>2200</v>
      </c>
      <c r="D28">
        <v>0.73799999999999999</v>
      </c>
      <c r="E28">
        <v>0.29010000000000002</v>
      </c>
      <c r="F28" s="1">
        <v>638.22</v>
      </c>
    </row>
    <row r="29" spans="1:15" x14ac:dyDescent="0.25">
      <c r="A29" t="s">
        <v>51</v>
      </c>
      <c r="B29" t="s">
        <v>52</v>
      </c>
      <c r="C29">
        <v>1000</v>
      </c>
      <c r="D29">
        <v>1.2558</v>
      </c>
      <c r="E29">
        <v>0.85270000000000001</v>
      </c>
      <c r="F29" s="1">
        <v>852.7</v>
      </c>
    </row>
    <row r="30" spans="1:15" x14ac:dyDescent="0.25">
      <c r="A30" t="s">
        <v>53</v>
      </c>
      <c r="B30" t="s">
        <v>54</v>
      </c>
      <c r="C30">
        <v>400</v>
      </c>
      <c r="D30">
        <v>17.1097</v>
      </c>
      <c r="E30">
        <v>16.71</v>
      </c>
      <c r="F30" s="1">
        <v>6684</v>
      </c>
    </row>
    <row r="31" spans="1:15" x14ac:dyDescent="0.25">
      <c r="A31" t="s">
        <v>55</v>
      </c>
      <c r="B31" t="s">
        <v>56</v>
      </c>
      <c r="C31">
        <v>200</v>
      </c>
      <c r="D31">
        <v>22.1294</v>
      </c>
      <c r="E31">
        <v>13.86</v>
      </c>
      <c r="F31" s="1">
        <v>2772</v>
      </c>
    </row>
    <row r="32" spans="1:15" x14ac:dyDescent="0.25">
      <c r="A32" t="s">
        <v>57</v>
      </c>
      <c r="B32" t="s">
        <v>58</v>
      </c>
      <c r="C32">
        <v>103.96559999999999</v>
      </c>
      <c r="D32">
        <v>15.1188</v>
      </c>
      <c r="E32">
        <v>14.82</v>
      </c>
      <c r="F32" s="1">
        <v>1540.77</v>
      </c>
    </row>
    <row r="33" spans="1:6" x14ac:dyDescent="0.25">
      <c r="A33" t="s">
        <v>59</v>
      </c>
      <c r="B33" t="s">
        <v>60</v>
      </c>
      <c r="C33">
        <v>81.404700000000005</v>
      </c>
      <c r="D33">
        <v>38.624499999999998</v>
      </c>
      <c r="E33">
        <v>24.364999999999998</v>
      </c>
      <c r="F33" s="1">
        <v>1983.43</v>
      </c>
    </row>
    <row r="34" spans="1:6" x14ac:dyDescent="0.25">
      <c r="A34" t="s">
        <v>61</v>
      </c>
      <c r="B34" t="s">
        <v>62</v>
      </c>
      <c r="C34">
        <v>60.3581</v>
      </c>
      <c r="D34">
        <v>30.229600000000001</v>
      </c>
      <c r="E34">
        <v>29.765000000000001</v>
      </c>
      <c r="F34" s="1">
        <v>1796.56</v>
      </c>
    </row>
    <row r="35" spans="1:6" x14ac:dyDescent="0.25">
      <c r="A35" t="s">
        <v>63</v>
      </c>
      <c r="B35" t="s">
        <v>64</v>
      </c>
      <c r="C35">
        <v>53.542700000000004</v>
      </c>
      <c r="D35">
        <v>23.869700000000002</v>
      </c>
      <c r="E35">
        <v>9.3953000000000007</v>
      </c>
      <c r="F35" s="1">
        <v>503.05</v>
      </c>
    </row>
    <row r="36" spans="1:6" x14ac:dyDescent="0.25">
      <c r="A36" t="s">
        <v>63</v>
      </c>
      <c r="B36" t="s">
        <v>64</v>
      </c>
      <c r="C36">
        <v>53.542700000000004</v>
      </c>
      <c r="D36">
        <v>23.869700000000002</v>
      </c>
      <c r="E36">
        <v>9.3953000000000007</v>
      </c>
      <c r="F36" s="1">
        <v>503.05</v>
      </c>
    </row>
    <row r="37" spans="1:6" x14ac:dyDescent="0.25">
      <c r="A37" t="s">
        <v>65</v>
      </c>
      <c r="B37" t="s">
        <v>66</v>
      </c>
      <c r="C37">
        <v>50</v>
      </c>
      <c r="D37">
        <v>78.275000000000006</v>
      </c>
      <c r="E37">
        <v>161.09</v>
      </c>
      <c r="F37" s="1">
        <v>8054.5</v>
      </c>
    </row>
    <row r="38" spans="1:6" x14ac:dyDescent="0.25">
      <c r="A38" t="s">
        <v>67</v>
      </c>
      <c r="B38" t="s">
        <v>68</v>
      </c>
      <c r="C38">
        <v>45.926000000000002</v>
      </c>
      <c r="D38">
        <v>160.0368</v>
      </c>
      <c r="E38">
        <v>224.13</v>
      </c>
      <c r="F38" s="1">
        <v>10293.39</v>
      </c>
    </row>
    <row r="39" spans="1:6" x14ac:dyDescent="0.25">
      <c r="A39" t="s">
        <v>69</v>
      </c>
      <c r="B39" t="s">
        <v>70</v>
      </c>
      <c r="C39">
        <v>35</v>
      </c>
      <c r="D39">
        <v>553.29200000000003</v>
      </c>
      <c r="E39">
        <v>666.93010000000004</v>
      </c>
      <c r="F39" s="1">
        <v>23342.55</v>
      </c>
    </row>
    <row r="40" spans="1:6" x14ac:dyDescent="0.25">
      <c r="A40" t="s">
        <v>71</v>
      </c>
      <c r="B40" t="s">
        <v>72</v>
      </c>
      <c r="C40">
        <v>34.865400000000001</v>
      </c>
      <c r="D40">
        <v>53.372100000000003</v>
      </c>
      <c r="E40">
        <v>61.28</v>
      </c>
      <c r="F40" s="1">
        <v>2136.5500000000002</v>
      </c>
    </row>
    <row r="41" spans="1:6" x14ac:dyDescent="0.25">
      <c r="A41" t="s">
        <v>73</v>
      </c>
      <c r="B41" t="s">
        <v>74</v>
      </c>
      <c r="C41">
        <v>32.666699999999999</v>
      </c>
      <c r="D41">
        <v>115.65389999999999</v>
      </c>
      <c r="E41">
        <v>157.72</v>
      </c>
      <c r="F41" s="1">
        <v>5152.1899999999996</v>
      </c>
    </row>
    <row r="42" spans="1:6" x14ac:dyDescent="0.25">
      <c r="A42" t="s">
        <v>71</v>
      </c>
      <c r="B42" t="s">
        <v>72</v>
      </c>
      <c r="C42">
        <v>26.4132</v>
      </c>
      <c r="D42">
        <v>53.447800000000001</v>
      </c>
      <c r="E42">
        <v>61.28</v>
      </c>
      <c r="F42" s="1">
        <v>1618.6</v>
      </c>
    </row>
    <row r="43" spans="1:6" x14ac:dyDescent="0.25">
      <c r="A43" t="s">
        <v>75</v>
      </c>
      <c r="B43" t="s">
        <v>76</v>
      </c>
      <c r="C43">
        <v>22</v>
      </c>
      <c r="D43">
        <v>252.6009</v>
      </c>
      <c r="E43">
        <v>347.63</v>
      </c>
      <c r="F43" s="1">
        <v>7647.86</v>
      </c>
    </row>
    <row r="44" spans="1:6" x14ac:dyDescent="0.25">
      <c r="A44" t="s">
        <v>77</v>
      </c>
      <c r="B44" t="s">
        <v>78</v>
      </c>
      <c r="C44">
        <v>22</v>
      </c>
      <c r="D44">
        <v>170.08</v>
      </c>
      <c r="E44">
        <v>435.47</v>
      </c>
      <c r="F44" s="1">
        <v>9580.34</v>
      </c>
    </row>
    <row r="45" spans="1:6" x14ac:dyDescent="0.25">
      <c r="A45" t="s">
        <v>79</v>
      </c>
      <c r="B45" t="s">
        <v>80</v>
      </c>
      <c r="C45">
        <v>20</v>
      </c>
      <c r="D45">
        <v>19.91</v>
      </c>
      <c r="E45">
        <v>38.369999999999997</v>
      </c>
      <c r="F45" s="1">
        <v>767.4</v>
      </c>
    </row>
    <row r="46" spans="1:6" x14ac:dyDescent="0.25">
      <c r="A46" t="s">
        <v>81</v>
      </c>
      <c r="B46" t="s">
        <v>82</v>
      </c>
      <c r="C46">
        <v>18.159800000000001</v>
      </c>
      <c r="D46">
        <v>29.816299999999998</v>
      </c>
      <c r="E46">
        <v>31.734999999999999</v>
      </c>
      <c r="F46" s="1">
        <v>576.29999999999995</v>
      </c>
    </row>
    <row r="47" spans="1:6" x14ac:dyDescent="0.25">
      <c r="A47" t="s">
        <v>83</v>
      </c>
      <c r="B47" t="s">
        <v>84</v>
      </c>
      <c r="C47">
        <v>16.444500000000001</v>
      </c>
      <c r="D47">
        <v>494.10320000000002</v>
      </c>
      <c r="E47">
        <v>256.01</v>
      </c>
      <c r="F47" s="1">
        <v>4209.96</v>
      </c>
    </row>
    <row r="48" spans="1:6" x14ac:dyDescent="0.25">
      <c r="A48" t="s">
        <v>85</v>
      </c>
      <c r="B48" t="s">
        <v>86</v>
      </c>
      <c r="C48">
        <v>16.3125</v>
      </c>
      <c r="D48">
        <v>226.47389999999999</v>
      </c>
      <c r="E48">
        <v>290.91980000000001</v>
      </c>
      <c r="F48" s="1">
        <v>4745.63</v>
      </c>
    </row>
    <row r="49" spans="1:6" x14ac:dyDescent="0.25">
      <c r="A49" t="s">
        <v>71</v>
      </c>
      <c r="B49" t="s">
        <v>72</v>
      </c>
      <c r="C49">
        <v>15.848100000000001</v>
      </c>
      <c r="D49">
        <v>53.466799999999999</v>
      </c>
      <c r="E49">
        <v>61.28</v>
      </c>
      <c r="F49" s="1">
        <v>971.17</v>
      </c>
    </row>
    <row r="50" spans="1:6" x14ac:dyDescent="0.25">
      <c r="A50" t="s">
        <v>87</v>
      </c>
      <c r="B50" t="s">
        <v>88</v>
      </c>
      <c r="C50">
        <v>15.257400000000001</v>
      </c>
      <c r="D50">
        <v>84.313100000000006</v>
      </c>
      <c r="E50">
        <v>113.58</v>
      </c>
      <c r="F50" s="1">
        <v>1732.94</v>
      </c>
    </row>
    <row r="51" spans="1:6" x14ac:dyDescent="0.25">
      <c r="A51" t="s">
        <v>69</v>
      </c>
      <c r="B51" t="s">
        <v>70</v>
      </c>
      <c r="C51">
        <v>15.0745</v>
      </c>
      <c r="D51">
        <v>538.5498</v>
      </c>
      <c r="E51">
        <v>666.93010000000004</v>
      </c>
      <c r="F51" s="1">
        <v>10053.64</v>
      </c>
    </row>
    <row r="52" spans="1:6" x14ac:dyDescent="0.25">
      <c r="A52" t="s">
        <v>69</v>
      </c>
      <c r="B52" t="s">
        <v>70</v>
      </c>
      <c r="C52">
        <v>12</v>
      </c>
      <c r="D52">
        <v>562.60419999999999</v>
      </c>
      <c r="E52">
        <v>666.93010000000004</v>
      </c>
      <c r="F52" s="1">
        <v>8003.16</v>
      </c>
    </row>
    <row r="53" spans="1:6" x14ac:dyDescent="0.25">
      <c r="A53" t="s">
        <v>89</v>
      </c>
      <c r="B53" t="s">
        <v>90</v>
      </c>
      <c r="C53">
        <v>9</v>
      </c>
      <c r="D53">
        <v>63.829900000000002</v>
      </c>
      <c r="E53">
        <v>56.29</v>
      </c>
      <c r="F53" s="1">
        <v>506.61</v>
      </c>
    </row>
    <row r="54" spans="1:6" x14ac:dyDescent="0.25">
      <c r="A54" t="s">
        <v>75</v>
      </c>
      <c r="B54" t="s">
        <v>76</v>
      </c>
      <c r="C54">
        <v>8</v>
      </c>
      <c r="D54">
        <v>247.36</v>
      </c>
      <c r="E54">
        <v>347.63</v>
      </c>
      <c r="F54" s="1">
        <v>2781.04</v>
      </c>
    </row>
    <row r="55" spans="1:6" x14ac:dyDescent="0.25">
      <c r="A55" t="s">
        <v>91</v>
      </c>
      <c r="B55" t="s">
        <v>92</v>
      </c>
      <c r="C55">
        <v>8</v>
      </c>
      <c r="D55">
        <v>0</v>
      </c>
      <c r="E55">
        <v>3.9</v>
      </c>
      <c r="F55" s="1">
        <v>31.2</v>
      </c>
    </row>
    <row r="56" spans="1:6" x14ac:dyDescent="0.25">
      <c r="A56" t="s">
        <v>93</v>
      </c>
      <c r="B56" t="s">
        <v>94</v>
      </c>
      <c r="C56">
        <v>7.6486000000000001</v>
      </c>
      <c r="D56">
        <v>27.984000000000002</v>
      </c>
      <c r="E56">
        <v>9.8249999999999993</v>
      </c>
      <c r="F56" s="1">
        <v>75.150000000000006</v>
      </c>
    </row>
    <row r="57" spans="1:6" x14ac:dyDescent="0.25">
      <c r="A57" t="s">
        <v>95</v>
      </c>
      <c r="B57" t="s">
        <v>96</v>
      </c>
      <c r="C57">
        <v>7</v>
      </c>
      <c r="D57">
        <v>0</v>
      </c>
      <c r="E57">
        <v>73.930999999999997</v>
      </c>
      <c r="F57" s="1">
        <v>517.52</v>
      </c>
    </row>
    <row r="58" spans="1:6" x14ac:dyDescent="0.25">
      <c r="A58" t="s">
        <v>97</v>
      </c>
      <c r="B58" t="s">
        <v>98</v>
      </c>
      <c r="C58">
        <v>5.3411</v>
      </c>
      <c r="D58">
        <v>8.8506</v>
      </c>
      <c r="E58">
        <v>40.78</v>
      </c>
      <c r="F58" s="1">
        <v>217.81</v>
      </c>
    </row>
    <row r="59" spans="1:6" x14ac:dyDescent="0.25">
      <c r="A59" t="s">
        <v>99</v>
      </c>
      <c r="B59" t="s">
        <v>100</v>
      </c>
      <c r="C59">
        <v>5.3066000000000004</v>
      </c>
      <c r="D59">
        <v>155.15649999999999</v>
      </c>
      <c r="E59">
        <v>138.99</v>
      </c>
      <c r="F59" s="1">
        <v>737.56</v>
      </c>
    </row>
    <row r="60" spans="1:6" x14ac:dyDescent="0.25">
      <c r="A60" t="s">
        <v>93</v>
      </c>
      <c r="B60" t="s">
        <v>94</v>
      </c>
      <c r="C60">
        <v>4.3700999999999999</v>
      </c>
      <c r="D60">
        <v>27.957699999999999</v>
      </c>
      <c r="E60">
        <v>9.8249999999999993</v>
      </c>
      <c r="F60" s="1">
        <v>42.94</v>
      </c>
    </row>
    <row r="61" spans="1:6" x14ac:dyDescent="0.25">
      <c r="A61" t="s">
        <v>101</v>
      </c>
      <c r="B61" t="s">
        <v>102</v>
      </c>
      <c r="C61">
        <v>4.0910000000000002</v>
      </c>
      <c r="D61">
        <v>460.92140000000001</v>
      </c>
      <c r="E61">
        <v>935.255</v>
      </c>
      <c r="F61" s="1">
        <v>3826.13</v>
      </c>
    </row>
    <row r="62" spans="1:6" x14ac:dyDescent="0.25">
      <c r="A62" t="s">
        <v>103</v>
      </c>
      <c r="B62" t="s">
        <v>104</v>
      </c>
      <c r="C62">
        <v>4</v>
      </c>
      <c r="D62">
        <v>49.88</v>
      </c>
      <c r="E62">
        <v>17.580200000000001</v>
      </c>
      <c r="F62" s="1">
        <v>70.319999999999993</v>
      </c>
    </row>
    <row r="63" spans="1:6" x14ac:dyDescent="0.25">
      <c r="A63" t="s">
        <v>105</v>
      </c>
      <c r="B63" t="s">
        <v>106</v>
      </c>
      <c r="C63">
        <v>4</v>
      </c>
      <c r="D63">
        <v>98.935000000000002</v>
      </c>
      <c r="E63">
        <v>179.565</v>
      </c>
      <c r="F63" s="1">
        <v>718.26</v>
      </c>
    </row>
    <row r="64" spans="1:6" x14ac:dyDescent="0.25">
      <c r="A64" t="s">
        <v>103</v>
      </c>
      <c r="B64" t="s">
        <v>104</v>
      </c>
      <c r="C64">
        <v>4</v>
      </c>
      <c r="D64">
        <v>60</v>
      </c>
      <c r="E64">
        <v>17.580200000000001</v>
      </c>
      <c r="F64" s="1">
        <v>70.319999999999993</v>
      </c>
    </row>
    <row r="65" spans="1:18" x14ac:dyDescent="0.25">
      <c r="A65" t="s">
        <v>107</v>
      </c>
      <c r="B65" t="s">
        <v>108</v>
      </c>
      <c r="C65">
        <v>3.8860000000000001</v>
      </c>
      <c r="D65">
        <v>27.314900000000002</v>
      </c>
      <c r="E65">
        <v>28.664999999999999</v>
      </c>
      <c r="F65" s="1">
        <v>111.39</v>
      </c>
    </row>
    <row r="66" spans="1:18" x14ac:dyDescent="0.25">
      <c r="A66" t="s">
        <v>67</v>
      </c>
      <c r="B66" t="s">
        <v>68</v>
      </c>
      <c r="C66">
        <v>3.2555000000000001</v>
      </c>
      <c r="D66">
        <v>147.01349999999999</v>
      </c>
      <c r="E66">
        <v>224.13</v>
      </c>
      <c r="F66" s="1">
        <v>729.66</v>
      </c>
    </row>
    <row r="67" spans="1:18" x14ac:dyDescent="0.25">
      <c r="A67" t="s">
        <v>105</v>
      </c>
      <c r="B67" t="s">
        <v>106</v>
      </c>
      <c r="C67">
        <v>3</v>
      </c>
      <c r="D67">
        <v>99.16</v>
      </c>
      <c r="E67">
        <v>179.565</v>
      </c>
      <c r="F67" s="1">
        <v>538.69000000000005</v>
      </c>
    </row>
    <row r="68" spans="1:18" x14ac:dyDescent="0.25">
      <c r="A68" t="s">
        <v>57</v>
      </c>
      <c r="B68" t="s">
        <v>58</v>
      </c>
      <c r="C68">
        <v>2.4339</v>
      </c>
      <c r="D68">
        <v>21.3673</v>
      </c>
      <c r="E68">
        <v>14.82</v>
      </c>
      <c r="F68" s="1">
        <v>36.07</v>
      </c>
    </row>
    <row r="69" spans="1:18" x14ac:dyDescent="0.25">
      <c r="A69" t="s">
        <v>109</v>
      </c>
      <c r="B69" t="s">
        <v>110</v>
      </c>
      <c r="C69">
        <v>2.1779000000000002</v>
      </c>
      <c r="D69">
        <v>72.376999999999995</v>
      </c>
      <c r="E69">
        <v>81.52</v>
      </c>
      <c r="F69" s="1">
        <v>177.54</v>
      </c>
    </row>
    <row r="70" spans="1:18" x14ac:dyDescent="0.25">
      <c r="A70" t="s">
        <v>111</v>
      </c>
      <c r="B70" t="s">
        <v>112</v>
      </c>
      <c r="C70">
        <v>2.0493999999999999</v>
      </c>
      <c r="D70">
        <v>30.039000000000001</v>
      </c>
      <c r="E70">
        <v>23.22</v>
      </c>
      <c r="F70" s="1">
        <v>47.59</v>
      </c>
    </row>
    <row r="71" spans="1:18" x14ac:dyDescent="0.25">
      <c r="A71" t="s">
        <v>113</v>
      </c>
      <c r="B71" t="s">
        <v>114</v>
      </c>
      <c r="C71">
        <v>1.0330999999999999</v>
      </c>
      <c r="D71">
        <v>299.25799999999998</v>
      </c>
      <c r="E71">
        <v>512.6</v>
      </c>
      <c r="F71" s="1">
        <v>529.57000000000005</v>
      </c>
    </row>
    <row r="72" spans="1:18" x14ac:dyDescent="0.25">
      <c r="A72" t="s">
        <v>115</v>
      </c>
      <c r="B72" t="s">
        <v>116</v>
      </c>
      <c r="C72">
        <v>1</v>
      </c>
      <c r="D72">
        <v>0</v>
      </c>
      <c r="E72">
        <v>7.1870000000000003</v>
      </c>
      <c r="F72" s="1">
        <v>7.19</v>
      </c>
    </row>
    <row r="73" spans="1:18" x14ac:dyDescent="0.25">
      <c r="A73" t="s">
        <v>103</v>
      </c>
      <c r="B73" t="s">
        <v>104</v>
      </c>
      <c r="C73">
        <v>1</v>
      </c>
      <c r="D73">
        <v>60</v>
      </c>
      <c r="E73">
        <v>17.580200000000001</v>
      </c>
      <c r="F73" s="1">
        <v>17.579999999999998</v>
      </c>
    </row>
    <row r="74" spans="1:18" x14ac:dyDescent="0.25">
      <c r="B74" t="s">
        <v>117</v>
      </c>
      <c r="F74" s="1">
        <v>127950.09</v>
      </c>
      <c r="P74">
        <f>P76-P77</f>
        <v>595</v>
      </c>
      <c r="Q74">
        <f t="shared" ref="Q74:R74" si="0">Q76-Q77</f>
        <v>291</v>
      </c>
      <c r="R74">
        <f t="shared" si="0"/>
        <v>110</v>
      </c>
    </row>
    <row r="75" spans="1:18" x14ac:dyDescent="0.25">
      <c r="P75" t="s">
        <v>160</v>
      </c>
      <c r="Q75" t="s">
        <v>161</v>
      </c>
      <c r="R75" t="s">
        <v>159</v>
      </c>
    </row>
    <row r="76" spans="1:18" x14ac:dyDescent="0.25">
      <c r="A76" t="s">
        <v>118</v>
      </c>
      <c r="P76">
        <v>20495</v>
      </c>
      <c r="Q76">
        <v>18891</v>
      </c>
      <c r="R76">
        <v>16610</v>
      </c>
    </row>
    <row r="77" spans="1:18" x14ac:dyDescent="0.25">
      <c r="A77" t="s">
        <v>35</v>
      </c>
      <c r="B77" t="s">
        <v>36</v>
      </c>
      <c r="C77" t="s">
        <v>37</v>
      </c>
      <c r="D77" t="s">
        <v>16</v>
      </c>
      <c r="E77" t="s">
        <v>33</v>
      </c>
      <c r="F77" t="s">
        <v>46</v>
      </c>
      <c r="G77" t="s">
        <v>47</v>
      </c>
      <c r="H77" t="s">
        <v>48</v>
      </c>
      <c r="I77" t="s">
        <v>119</v>
      </c>
      <c r="J77" t="s">
        <v>120</v>
      </c>
      <c r="K77" t="s">
        <v>121</v>
      </c>
      <c r="L77" t="s">
        <v>122</v>
      </c>
      <c r="M77" t="s">
        <v>123</v>
      </c>
      <c r="P77">
        <f>SUM(O78:O81)</f>
        <v>19900</v>
      </c>
      <c r="Q77">
        <f>SUM(O82:O85)</f>
        <v>18600</v>
      </c>
      <c r="R77">
        <f>O86</f>
        <v>16500</v>
      </c>
    </row>
    <row r="78" spans="1:18" x14ac:dyDescent="0.25">
      <c r="A78" t="s">
        <v>124</v>
      </c>
      <c r="B78" s="2">
        <v>45933</v>
      </c>
      <c r="C78">
        <v>51</v>
      </c>
      <c r="D78" t="s">
        <v>125</v>
      </c>
      <c r="E78">
        <v>-1</v>
      </c>
      <c r="F78">
        <v>1.81</v>
      </c>
      <c r="G78">
        <v>1.83</v>
      </c>
      <c r="H78" s="1">
        <v>-183</v>
      </c>
      <c r="I78" s="1">
        <v>-2</v>
      </c>
      <c r="J78" s="1">
        <v>-2</v>
      </c>
      <c r="K78" s="3">
        <v>-1.0999999999999999E-2</v>
      </c>
      <c r="L78" t="s">
        <v>126</v>
      </c>
      <c r="M78" t="s">
        <v>127</v>
      </c>
      <c r="O78">
        <f>C78*100</f>
        <v>5100</v>
      </c>
    </row>
    <row r="79" spans="1:18" x14ac:dyDescent="0.25">
      <c r="A79" t="s">
        <v>124</v>
      </c>
      <c r="B79" s="2">
        <v>45940</v>
      </c>
      <c r="C79">
        <v>50</v>
      </c>
      <c r="D79" t="s">
        <v>125</v>
      </c>
      <c r="E79">
        <v>-1</v>
      </c>
      <c r="F79">
        <v>2.46</v>
      </c>
      <c r="G79">
        <v>2.48</v>
      </c>
      <c r="H79" s="1">
        <v>-248</v>
      </c>
      <c r="I79" s="1">
        <v>-2</v>
      </c>
      <c r="J79" s="1">
        <v>-2</v>
      </c>
      <c r="K79" s="3">
        <v>-8.0999999999999996E-3</v>
      </c>
      <c r="L79" t="s">
        <v>126</v>
      </c>
      <c r="M79" t="s">
        <v>128</v>
      </c>
      <c r="O79">
        <f t="shared" ref="O79:O86" si="1">C79*100</f>
        <v>5000</v>
      </c>
    </row>
    <row r="80" spans="1:18" x14ac:dyDescent="0.25">
      <c r="A80" t="s">
        <v>124</v>
      </c>
      <c r="B80" s="2">
        <v>45954</v>
      </c>
      <c r="C80">
        <v>48</v>
      </c>
      <c r="D80" t="s">
        <v>125</v>
      </c>
      <c r="E80">
        <v>-1</v>
      </c>
      <c r="F80">
        <v>3.45</v>
      </c>
      <c r="G80">
        <v>3.3250000000000002</v>
      </c>
      <c r="H80" s="1">
        <v>-332.5</v>
      </c>
      <c r="I80" s="1">
        <v>12.5</v>
      </c>
      <c r="J80" s="1">
        <v>12.5</v>
      </c>
      <c r="K80" s="3">
        <v>3.6200000000000003E-2</v>
      </c>
      <c r="L80" t="s">
        <v>126</v>
      </c>
      <c r="M80" t="s">
        <v>129</v>
      </c>
      <c r="O80">
        <f t="shared" si="1"/>
        <v>4800</v>
      </c>
    </row>
    <row r="81" spans="1:18" x14ac:dyDescent="0.25">
      <c r="A81" t="s">
        <v>124</v>
      </c>
      <c r="B81" s="2">
        <v>45961</v>
      </c>
      <c r="C81">
        <v>50</v>
      </c>
      <c r="D81" t="s">
        <v>125</v>
      </c>
      <c r="E81">
        <v>-1</v>
      </c>
      <c r="F81">
        <v>5</v>
      </c>
      <c r="G81">
        <v>4.9249999999999998</v>
      </c>
      <c r="H81" s="1">
        <v>-492.5</v>
      </c>
      <c r="I81" s="1">
        <v>7.5</v>
      </c>
      <c r="J81" s="1">
        <v>7.5</v>
      </c>
      <c r="K81" s="3">
        <v>1.4999999999999999E-2</v>
      </c>
      <c r="L81" t="s">
        <v>126</v>
      </c>
      <c r="M81" t="s">
        <v>130</v>
      </c>
      <c r="O81">
        <f t="shared" si="1"/>
        <v>5000</v>
      </c>
    </row>
    <row r="82" spans="1:18" x14ac:dyDescent="0.25">
      <c r="A82" t="s">
        <v>131</v>
      </c>
      <c r="B82" s="2">
        <v>45947</v>
      </c>
      <c r="C82">
        <v>105</v>
      </c>
      <c r="D82" t="s">
        <v>125</v>
      </c>
      <c r="E82">
        <v>-1</v>
      </c>
      <c r="F82">
        <v>4.08</v>
      </c>
      <c r="G82">
        <v>1.49</v>
      </c>
      <c r="H82" s="1">
        <v>-149</v>
      </c>
      <c r="I82" s="1">
        <v>258.33999999999997</v>
      </c>
      <c r="J82" s="1">
        <v>5.5</v>
      </c>
      <c r="K82" s="3">
        <v>0.63419999999999999</v>
      </c>
      <c r="L82" t="s">
        <v>132</v>
      </c>
      <c r="M82" t="s">
        <v>133</v>
      </c>
      <c r="O82">
        <f t="shared" si="1"/>
        <v>10500</v>
      </c>
    </row>
    <row r="83" spans="1:18" x14ac:dyDescent="0.25">
      <c r="A83" t="s">
        <v>124</v>
      </c>
      <c r="B83" s="2">
        <v>45947</v>
      </c>
      <c r="C83">
        <v>50</v>
      </c>
      <c r="D83" t="s">
        <v>125</v>
      </c>
      <c r="E83">
        <v>-1</v>
      </c>
      <c r="F83">
        <v>3.46</v>
      </c>
      <c r="G83">
        <v>3.375</v>
      </c>
      <c r="H83" s="1">
        <v>-337.5</v>
      </c>
      <c r="I83" s="1">
        <v>8.5</v>
      </c>
      <c r="J83" s="1">
        <v>8.5</v>
      </c>
      <c r="K83" s="3">
        <v>2.46E-2</v>
      </c>
      <c r="L83" t="s">
        <v>132</v>
      </c>
      <c r="M83" t="s">
        <v>134</v>
      </c>
      <c r="O83">
        <f t="shared" si="1"/>
        <v>5000</v>
      </c>
    </row>
    <row r="84" spans="1:18" x14ac:dyDescent="0.25">
      <c r="A84" t="s">
        <v>57</v>
      </c>
      <c r="B84" s="2">
        <v>45947</v>
      </c>
      <c r="C84">
        <v>15</v>
      </c>
      <c r="D84" t="s">
        <v>125</v>
      </c>
      <c r="E84">
        <v>-2</v>
      </c>
      <c r="F84">
        <v>1.07</v>
      </c>
      <c r="G84">
        <v>0.93</v>
      </c>
      <c r="H84" s="1">
        <v>-186</v>
      </c>
      <c r="I84" s="1">
        <v>26.67</v>
      </c>
      <c r="J84" s="1">
        <v>56.18</v>
      </c>
      <c r="K84" s="3">
        <v>0.12540000000000001</v>
      </c>
      <c r="L84" t="s">
        <v>132</v>
      </c>
      <c r="M84" t="s">
        <v>135</v>
      </c>
      <c r="O84">
        <f t="shared" si="1"/>
        <v>1500</v>
      </c>
    </row>
    <row r="85" spans="1:18" x14ac:dyDescent="0.25">
      <c r="A85" t="s">
        <v>57</v>
      </c>
      <c r="B85" s="2">
        <v>45954</v>
      </c>
      <c r="C85">
        <v>16</v>
      </c>
      <c r="D85" t="s">
        <v>136</v>
      </c>
      <c r="E85">
        <v>-1</v>
      </c>
      <c r="F85">
        <v>0.94</v>
      </c>
      <c r="G85">
        <v>0.57999999999999996</v>
      </c>
      <c r="H85" s="1">
        <v>-58</v>
      </c>
      <c r="I85" s="1">
        <v>35.340000000000003</v>
      </c>
      <c r="J85" s="1">
        <v>-14</v>
      </c>
      <c r="K85" s="3">
        <v>0.37859999999999999</v>
      </c>
      <c r="L85" t="s">
        <v>132</v>
      </c>
      <c r="M85" t="s">
        <v>137</v>
      </c>
      <c r="O85">
        <f t="shared" si="1"/>
        <v>1600</v>
      </c>
    </row>
    <row r="86" spans="1:18" x14ac:dyDescent="0.25">
      <c r="A86" t="s">
        <v>65</v>
      </c>
      <c r="B86" s="2">
        <v>45926</v>
      </c>
      <c r="C86">
        <v>165</v>
      </c>
      <c r="D86" t="s">
        <v>125</v>
      </c>
      <c r="E86">
        <v>-1</v>
      </c>
      <c r="F86">
        <v>4.58</v>
      </c>
      <c r="G86">
        <v>5.4</v>
      </c>
      <c r="H86" s="1">
        <v>-540</v>
      </c>
      <c r="I86" s="1">
        <v>-82.66</v>
      </c>
      <c r="J86" s="1">
        <v>127.65</v>
      </c>
      <c r="K86" s="3">
        <v>-0.1807</v>
      </c>
      <c r="L86" t="s">
        <v>138</v>
      </c>
      <c r="M86" t="s">
        <v>139</v>
      </c>
      <c r="O86">
        <f t="shared" si="1"/>
        <v>16500</v>
      </c>
    </row>
    <row r="87" spans="1:18" x14ac:dyDescent="0.25">
      <c r="H87" s="1">
        <v>-2526.5</v>
      </c>
      <c r="I87" s="1">
        <v>262.19</v>
      </c>
      <c r="J87" s="1">
        <v>199.83</v>
      </c>
      <c r="K87" s="3">
        <v>9.4E-2</v>
      </c>
      <c r="M87" t="s">
        <v>117</v>
      </c>
      <c r="P87">
        <f t="shared" ref="P87:Q87" si="2">P76-P77</f>
        <v>595</v>
      </c>
      <c r="Q87">
        <f t="shared" si="2"/>
        <v>291</v>
      </c>
      <c r="R87">
        <f>R76-R77</f>
        <v>110</v>
      </c>
    </row>
    <row r="89" spans="1:18" x14ac:dyDescent="0.25">
      <c r="A89" t="s">
        <v>140</v>
      </c>
    </row>
    <row r="90" spans="1:18" x14ac:dyDescent="0.25">
      <c r="A90" t="s">
        <v>35</v>
      </c>
      <c r="B90" t="s">
        <v>18</v>
      </c>
      <c r="C90" t="s">
        <v>33</v>
      </c>
      <c r="D90" t="s">
        <v>46</v>
      </c>
      <c r="E90" t="s">
        <v>47</v>
      </c>
      <c r="F90" t="s">
        <v>48</v>
      </c>
    </row>
    <row r="91" spans="1:18" x14ac:dyDescent="0.25">
      <c r="A91" t="s">
        <v>141</v>
      </c>
      <c r="B91" t="s">
        <v>142</v>
      </c>
      <c r="C91">
        <v>5</v>
      </c>
      <c r="D91">
        <v>131.184</v>
      </c>
      <c r="E91">
        <v>105.98399999999999</v>
      </c>
      <c r="F91" s="1">
        <v>5299.2</v>
      </c>
    </row>
    <row r="92" spans="1:18" x14ac:dyDescent="0.25">
      <c r="B92" t="s">
        <v>117</v>
      </c>
      <c r="F92" s="1">
        <v>5299.2</v>
      </c>
    </row>
    <row r="94" spans="1:18" x14ac:dyDescent="0.25">
      <c r="A94" t="s">
        <v>143</v>
      </c>
    </row>
    <row r="95" spans="1:18" x14ac:dyDescent="0.25">
      <c r="A95" t="s">
        <v>35</v>
      </c>
      <c r="B95" t="s">
        <v>18</v>
      </c>
      <c r="C95" t="s">
        <v>119</v>
      </c>
      <c r="D95" t="s">
        <v>121</v>
      </c>
      <c r="E95" t="s">
        <v>120</v>
      </c>
      <c r="F95" t="s">
        <v>144</v>
      </c>
      <c r="G95" t="s">
        <v>145</v>
      </c>
      <c r="H95" t="s">
        <v>48</v>
      </c>
    </row>
    <row r="96" spans="1:18" x14ac:dyDescent="0.25">
      <c r="A96" t="s">
        <v>49</v>
      </c>
      <c r="B96" t="s">
        <v>50</v>
      </c>
      <c r="C96" s="1">
        <v>-985.43</v>
      </c>
      <c r="D96" s="3">
        <v>-0.6069</v>
      </c>
      <c r="E96" s="1">
        <v>-9.68</v>
      </c>
      <c r="F96" s="1">
        <v>-985.43</v>
      </c>
      <c r="G96" s="1">
        <v>0</v>
      </c>
      <c r="H96" s="1">
        <v>638.22</v>
      </c>
    </row>
    <row r="97" spans="1:8" x14ac:dyDescent="0.25">
      <c r="A97" t="s">
        <v>59</v>
      </c>
      <c r="B97" t="s">
        <v>60</v>
      </c>
      <c r="C97" s="1">
        <v>-1160.79</v>
      </c>
      <c r="D97" s="3">
        <v>-0.36919999999999997</v>
      </c>
      <c r="E97" s="1">
        <v>4.4800000000000004</v>
      </c>
      <c r="F97" s="1">
        <v>-563.84</v>
      </c>
      <c r="G97" s="1">
        <v>0</v>
      </c>
      <c r="H97" s="1">
        <v>1983.43</v>
      </c>
    </row>
    <row r="98" spans="1:8" x14ac:dyDescent="0.25">
      <c r="A98" t="s">
        <v>51</v>
      </c>
      <c r="B98" t="s">
        <v>52</v>
      </c>
      <c r="C98" s="1">
        <v>-403.1</v>
      </c>
      <c r="D98" s="3">
        <v>-0.32100000000000001</v>
      </c>
      <c r="E98" s="1">
        <v>-77.3</v>
      </c>
      <c r="F98" s="1">
        <v>-403.1</v>
      </c>
      <c r="G98" s="1">
        <v>0</v>
      </c>
      <c r="H98" s="1">
        <v>852.7</v>
      </c>
    </row>
    <row r="99" spans="1:8" x14ac:dyDescent="0.25">
      <c r="A99" t="s">
        <v>103</v>
      </c>
      <c r="B99" t="s">
        <v>104</v>
      </c>
      <c r="C99" s="1">
        <v>-129.19999999999999</v>
      </c>
      <c r="D99" s="3">
        <v>-0.64759999999999995</v>
      </c>
      <c r="E99" s="1">
        <v>-0.08</v>
      </c>
      <c r="F99" s="1">
        <v>-66.08</v>
      </c>
      <c r="G99" s="1">
        <v>0</v>
      </c>
      <c r="H99" s="1">
        <v>70.319999999999993</v>
      </c>
    </row>
    <row r="100" spans="1:8" x14ac:dyDescent="0.25">
      <c r="A100" t="s">
        <v>103</v>
      </c>
      <c r="B100" t="s">
        <v>104</v>
      </c>
      <c r="C100" s="1">
        <v>-169.68</v>
      </c>
      <c r="D100" s="3">
        <v>-0.70699999999999996</v>
      </c>
      <c r="E100" s="1">
        <v>-0.08</v>
      </c>
      <c r="F100" s="1">
        <v>-66.08</v>
      </c>
      <c r="G100" s="1">
        <v>0</v>
      </c>
      <c r="H100" s="1">
        <v>70.319999999999993</v>
      </c>
    </row>
    <row r="101" spans="1:8" x14ac:dyDescent="0.25">
      <c r="A101" t="s">
        <v>93</v>
      </c>
      <c r="B101" t="s">
        <v>94</v>
      </c>
      <c r="C101" s="1">
        <v>-138.88999999999999</v>
      </c>
      <c r="D101" s="3">
        <v>-0.64890000000000003</v>
      </c>
      <c r="E101" s="1">
        <v>0.42</v>
      </c>
      <c r="F101" s="1">
        <v>-61</v>
      </c>
      <c r="G101" s="1">
        <v>0</v>
      </c>
      <c r="H101" s="1">
        <v>75.150000000000006</v>
      </c>
    </row>
    <row r="102" spans="1:8" x14ac:dyDescent="0.25">
      <c r="A102" t="s">
        <v>93</v>
      </c>
      <c r="B102" t="s">
        <v>94</v>
      </c>
      <c r="C102" s="1">
        <v>-79.239999999999995</v>
      </c>
      <c r="D102" s="3">
        <v>-0.64859999999999995</v>
      </c>
      <c r="E102" s="1">
        <v>0.24</v>
      </c>
      <c r="F102" s="1">
        <v>-34.85</v>
      </c>
      <c r="G102" s="1">
        <v>0</v>
      </c>
      <c r="H102" s="1">
        <v>42.94</v>
      </c>
    </row>
    <row r="103" spans="1:8" x14ac:dyDescent="0.25">
      <c r="A103" t="s">
        <v>85</v>
      </c>
      <c r="B103" t="s">
        <v>86</v>
      </c>
      <c r="C103" s="1">
        <v>1051.2</v>
      </c>
      <c r="D103" s="3">
        <v>0.28449999999999998</v>
      </c>
      <c r="E103" s="1">
        <v>-44.7</v>
      </c>
      <c r="F103" s="1">
        <v>-31.81</v>
      </c>
      <c r="G103" s="1">
        <v>0</v>
      </c>
      <c r="H103" s="1">
        <v>4745.63</v>
      </c>
    </row>
    <row r="104" spans="1:8" x14ac:dyDescent="0.25">
      <c r="A104" t="s">
        <v>141</v>
      </c>
      <c r="B104" t="s">
        <v>142</v>
      </c>
      <c r="C104" s="1">
        <v>-1260</v>
      </c>
      <c r="D104" s="3">
        <v>-0.19209999999999999</v>
      </c>
      <c r="E104" s="1">
        <v>0</v>
      </c>
      <c r="F104" s="1">
        <v>-27.75</v>
      </c>
      <c r="G104" s="1">
        <v>0</v>
      </c>
      <c r="H104" s="1">
        <v>5299.2</v>
      </c>
    </row>
    <row r="105" spans="1:8" x14ac:dyDescent="0.25">
      <c r="A105" t="s">
        <v>103</v>
      </c>
      <c r="B105" t="s">
        <v>104</v>
      </c>
      <c r="C105" s="1">
        <v>-42.42</v>
      </c>
      <c r="D105" s="3">
        <v>-0.70699999999999996</v>
      </c>
      <c r="E105" s="1">
        <v>-0.02</v>
      </c>
      <c r="F105" s="1">
        <v>-16.52</v>
      </c>
      <c r="G105" s="1">
        <v>0</v>
      </c>
      <c r="H105" s="1">
        <v>17.579999999999998</v>
      </c>
    </row>
    <row r="106" spans="1:8" x14ac:dyDescent="0.25">
      <c r="A106" t="s">
        <v>55</v>
      </c>
      <c r="B106" t="s">
        <v>56</v>
      </c>
      <c r="C106" s="1">
        <v>-1653.88</v>
      </c>
      <c r="D106" s="3">
        <v>-0.37369999999999998</v>
      </c>
      <c r="E106" s="1">
        <v>26</v>
      </c>
      <c r="F106" s="1">
        <v>-16</v>
      </c>
      <c r="G106" s="1">
        <v>0</v>
      </c>
      <c r="H106" s="1">
        <v>2772</v>
      </c>
    </row>
    <row r="107" spans="1:8" x14ac:dyDescent="0.25">
      <c r="A107" t="s">
        <v>63</v>
      </c>
      <c r="B107" t="s">
        <v>64</v>
      </c>
      <c r="C107" s="1">
        <v>-775.02</v>
      </c>
      <c r="D107" s="3">
        <v>-0.60640000000000005</v>
      </c>
      <c r="E107" s="1">
        <v>12.06</v>
      </c>
      <c r="F107" s="1">
        <v>-10.24</v>
      </c>
      <c r="G107" s="1">
        <v>0</v>
      </c>
      <c r="H107" s="1">
        <v>503.05</v>
      </c>
    </row>
    <row r="108" spans="1:8" x14ac:dyDescent="0.25">
      <c r="A108" t="s">
        <v>63</v>
      </c>
      <c r="B108" t="s">
        <v>64</v>
      </c>
      <c r="C108" s="1">
        <v>-775.02</v>
      </c>
      <c r="D108" s="3">
        <v>-0.60640000000000005</v>
      </c>
      <c r="E108" s="1">
        <v>12.06</v>
      </c>
      <c r="F108" s="1">
        <v>-10.24</v>
      </c>
      <c r="G108" s="1">
        <v>0</v>
      </c>
      <c r="H108" s="1">
        <v>503.05</v>
      </c>
    </row>
    <row r="109" spans="1:8" x14ac:dyDescent="0.25">
      <c r="A109" t="s">
        <v>111</v>
      </c>
      <c r="B109" t="s">
        <v>112</v>
      </c>
      <c r="C109" s="1">
        <v>-12.05</v>
      </c>
      <c r="D109" s="3">
        <v>-0.2021</v>
      </c>
      <c r="E109" s="1">
        <v>1.05</v>
      </c>
      <c r="F109" s="1">
        <v>2.04</v>
      </c>
      <c r="G109" s="1">
        <v>0</v>
      </c>
      <c r="H109" s="1">
        <v>47.59</v>
      </c>
    </row>
    <row r="110" spans="1:8" x14ac:dyDescent="0.25">
      <c r="A110" t="s">
        <v>115</v>
      </c>
      <c r="B110" t="s">
        <v>116</v>
      </c>
      <c r="C110" s="1">
        <v>-19.649999999999999</v>
      </c>
      <c r="D110" s="3">
        <v>-0.73219999999999996</v>
      </c>
      <c r="E110" s="1">
        <v>0.4</v>
      </c>
      <c r="F110" s="1">
        <v>3.53</v>
      </c>
      <c r="G110" s="1">
        <v>0</v>
      </c>
      <c r="H110" s="1">
        <v>7.19</v>
      </c>
    </row>
    <row r="111" spans="1:8" x14ac:dyDescent="0.25">
      <c r="A111" t="s">
        <v>109</v>
      </c>
      <c r="B111" t="s">
        <v>110</v>
      </c>
      <c r="C111" s="1">
        <v>19.97</v>
      </c>
      <c r="D111" s="3">
        <v>0.1268</v>
      </c>
      <c r="E111" s="1">
        <v>0.33</v>
      </c>
      <c r="F111" s="1">
        <v>11.09</v>
      </c>
      <c r="G111" s="1">
        <v>0</v>
      </c>
      <c r="H111" s="1">
        <v>177.54</v>
      </c>
    </row>
    <row r="112" spans="1:8" x14ac:dyDescent="0.25">
      <c r="A112" t="s">
        <v>91</v>
      </c>
      <c r="B112" t="s">
        <v>92</v>
      </c>
      <c r="C112" s="1">
        <v>-55.51</v>
      </c>
      <c r="D112" s="3">
        <v>-0.64019999999999999</v>
      </c>
      <c r="E112" s="1">
        <v>1.6</v>
      </c>
      <c r="F112" s="1">
        <v>14</v>
      </c>
      <c r="G112" s="1">
        <v>0</v>
      </c>
      <c r="H112" s="1">
        <v>31.2</v>
      </c>
    </row>
    <row r="113" spans="1:8" x14ac:dyDescent="0.25">
      <c r="A113" t="s">
        <v>124</v>
      </c>
      <c r="B113" t="s">
        <v>146</v>
      </c>
      <c r="C113" s="1">
        <v>16</v>
      </c>
      <c r="D113" s="3">
        <v>1.26E-2</v>
      </c>
      <c r="E113" s="1">
        <v>16</v>
      </c>
      <c r="F113" s="1">
        <v>16</v>
      </c>
      <c r="G113" s="1">
        <v>0</v>
      </c>
      <c r="H113" s="1">
        <v>-1256</v>
      </c>
    </row>
    <row r="114" spans="1:8" x14ac:dyDescent="0.25">
      <c r="A114" t="s">
        <v>107</v>
      </c>
      <c r="B114" t="s">
        <v>108</v>
      </c>
      <c r="C114" s="1">
        <v>26.95</v>
      </c>
      <c r="D114" s="3">
        <v>0.31919999999999998</v>
      </c>
      <c r="E114" s="1">
        <v>-0.99</v>
      </c>
      <c r="F114" s="1">
        <v>22.46</v>
      </c>
      <c r="G114" s="1">
        <v>0</v>
      </c>
      <c r="H114" s="1">
        <v>111.39</v>
      </c>
    </row>
    <row r="115" spans="1:8" x14ac:dyDescent="0.25">
      <c r="A115" t="s">
        <v>87</v>
      </c>
      <c r="B115" t="s">
        <v>88</v>
      </c>
      <c r="C115" s="1">
        <v>-267.87</v>
      </c>
      <c r="D115" s="3">
        <v>-0.13389999999999999</v>
      </c>
      <c r="E115" s="1">
        <v>15.56</v>
      </c>
      <c r="F115" s="1">
        <v>33.6</v>
      </c>
      <c r="G115" s="1">
        <v>0</v>
      </c>
      <c r="H115" s="1">
        <v>1732.94</v>
      </c>
    </row>
    <row r="116" spans="1:8" x14ac:dyDescent="0.25">
      <c r="A116" t="s">
        <v>95</v>
      </c>
      <c r="B116" t="s">
        <v>96</v>
      </c>
      <c r="C116" s="1">
        <v>18.37</v>
      </c>
      <c r="D116" s="3">
        <v>3.6799999999999999E-2</v>
      </c>
      <c r="E116" s="1">
        <v>1.2</v>
      </c>
      <c r="F116" s="1">
        <v>55.1</v>
      </c>
      <c r="G116" s="1">
        <v>0</v>
      </c>
      <c r="H116" s="1">
        <v>517.52</v>
      </c>
    </row>
    <row r="117" spans="1:8" x14ac:dyDescent="0.25">
      <c r="A117" t="s">
        <v>101</v>
      </c>
      <c r="B117" t="s">
        <v>102</v>
      </c>
      <c r="C117" s="1">
        <v>1940.34</v>
      </c>
      <c r="D117" s="3">
        <v>1.0288999999999999</v>
      </c>
      <c r="E117" s="1">
        <v>-32.75</v>
      </c>
      <c r="F117" s="1">
        <v>76.27</v>
      </c>
      <c r="G117" s="1">
        <v>0</v>
      </c>
      <c r="H117" s="1">
        <v>3826.13</v>
      </c>
    </row>
    <row r="118" spans="1:8" x14ac:dyDescent="0.25">
      <c r="A118" t="s">
        <v>83</v>
      </c>
      <c r="B118" t="s">
        <v>84</v>
      </c>
      <c r="C118" s="1">
        <v>2121.4699999999998</v>
      </c>
      <c r="D118" s="3">
        <v>1.0158</v>
      </c>
      <c r="E118" s="1">
        <v>-1.1499999999999999</v>
      </c>
      <c r="F118" s="1">
        <v>93.28</v>
      </c>
      <c r="G118" s="1">
        <v>0</v>
      </c>
      <c r="H118" s="1">
        <v>4209.96</v>
      </c>
    </row>
    <row r="119" spans="1:8" x14ac:dyDescent="0.25">
      <c r="A119" t="s">
        <v>113</v>
      </c>
      <c r="B119" t="s">
        <v>114</v>
      </c>
      <c r="C119" s="1">
        <v>220.33</v>
      </c>
      <c r="D119" s="3">
        <v>0.71250000000000002</v>
      </c>
      <c r="E119" s="1">
        <v>-1.91</v>
      </c>
      <c r="F119" s="1">
        <v>93.97</v>
      </c>
      <c r="G119" s="1">
        <v>0</v>
      </c>
      <c r="H119" s="1">
        <v>529.57000000000005</v>
      </c>
    </row>
    <row r="120" spans="1:8" x14ac:dyDescent="0.25">
      <c r="A120" t="s">
        <v>57</v>
      </c>
      <c r="B120" t="s">
        <v>58</v>
      </c>
      <c r="C120" s="1">
        <v>68.290000000000006</v>
      </c>
      <c r="D120" s="3">
        <v>5.5599999999999997E-2</v>
      </c>
      <c r="E120" s="1">
        <v>93.12</v>
      </c>
      <c r="F120" s="1">
        <v>99.8</v>
      </c>
      <c r="G120" s="1">
        <v>0</v>
      </c>
      <c r="H120" s="1">
        <v>1296.77</v>
      </c>
    </row>
    <row r="121" spans="1:8" x14ac:dyDescent="0.25">
      <c r="A121" t="s">
        <v>147</v>
      </c>
      <c r="B121" t="s">
        <v>148</v>
      </c>
      <c r="C121" s="1">
        <v>0</v>
      </c>
      <c r="D121" s="3">
        <v>0</v>
      </c>
      <c r="E121" s="1">
        <v>0</v>
      </c>
      <c r="F121" s="1">
        <v>103</v>
      </c>
      <c r="G121" s="1">
        <v>0</v>
      </c>
      <c r="H121" s="1">
        <v>0</v>
      </c>
    </row>
    <row r="122" spans="1:8" x14ac:dyDescent="0.25">
      <c r="A122" t="s">
        <v>89</v>
      </c>
      <c r="B122" t="s">
        <v>90</v>
      </c>
      <c r="C122" s="1">
        <v>-67.86</v>
      </c>
      <c r="D122" s="3">
        <v>-0.1181</v>
      </c>
      <c r="E122" s="1">
        <v>6.84</v>
      </c>
      <c r="F122" s="1">
        <v>117.18</v>
      </c>
      <c r="G122" s="1">
        <v>0</v>
      </c>
      <c r="H122" s="1">
        <v>506.61</v>
      </c>
    </row>
    <row r="123" spans="1:8" x14ac:dyDescent="0.25">
      <c r="A123" t="s">
        <v>99</v>
      </c>
      <c r="B123" t="s">
        <v>100</v>
      </c>
      <c r="C123" s="1">
        <v>-85.79</v>
      </c>
      <c r="D123" s="3">
        <v>-0.1042</v>
      </c>
      <c r="E123" s="1">
        <v>5.47</v>
      </c>
      <c r="F123" s="1">
        <v>117.51</v>
      </c>
      <c r="G123" s="1">
        <v>0</v>
      </c>
      <c r="H123" s="1">
        <v>737.56</v>
      </c>
    </row>
    <row r="124" spans="1:8" x14ac:dyDescent="0.25">
      <c r="A124" t="s">
        <v>67</v>
      </c>
      <c r="B124" t="s">
        <v>68</v>
      </c>
      <c r="C124" s="1">
        <v>250.98</v>
      </c>
      <c r="D124" s="3">
        <v>0.52429999999999999</v>
      </c>
      <c r="E124" s="1">
        <v>5.01</v>
      </c>
      <c r="F124" s="1">
        <v>149.97999999999999</v>
      </c>
      <c r="G124" s="1">
        <v>0</v>
      </c>
      <c r="H124" s="1">
        <v>729.66</v>
      </c>
    </row>
    <row r="125" spans="1:8" x14ac:dyDescent="0.25">
      <c r="A125" t="s">
        <v>71</v>
      </c>
      <c r="B125" t="s">
        <v>72</v>
      </c>
      <c r="C125" s="1">
        <v>123.83</v>
      </c>
      <c r="D125" s="3">
        <v>0.14610000000000001</v>
      </c>
      <c r="E125" s="1">
        <v>22.5</v>
      </c>
      <c r="F125" s="1">
        <v>169.54</v>
      </c>
      <c r="G125" s="1">
        <v>0</v>
      </c>
      <c r="H125" s="1">
        <v>971.17</v>
      </c>
    </row>
    <row r="126" spans="1:8" x14ac:dyDescent="0.25">
      <c r="A126" t="s">
        <v>97</v>
      </c>
      <c r="B126" t="s">
        <v>98</v>
      </c>
      <c r="C126" s="1">
        <v>60.77</v>
      </c>
      <c r="D126" s="3">
        <v>0.38700000000000001</v>
      </c>
      <c r="E126" s="1">
        <v>0.32</v>
      </c>
      <c r="F126" s="1">
        <v>211.78</v>
      </c>
      <c r="G126" s="1">
        <v>0</v>
      </c>
      <c r="H126" s="1">
        <v>217.81</v>
      </c>
    </row>
    <row r="127" spans="1:8" x14ac:dyDescent="0.25">
      <c r="A127" t="s">
        <v>124</v>
      </c>
      <c r="B127" t="s">
        <v>146</v>
      </c>
      <c r="C127" s="1">
        <v>8.5</v>
      </c>
      <c r="D127" s="3">
        <v>2.46E-2</v>
      </c>
      <c r="E127" s="1">
        <v>8.5</v>
      </c>
      <c r="F127" s="1">
        <v>273.5</v>
      </c>
      <c r="G127" s="1">
        <v>0</v>
      </c>
      <c r="H127" s="1">
        <v>-337.5</v>
      </c>
    </row>
    <row r="128" spans="1:8" x14ac:dyDescent="0.25">
      <c r="A128" t="s">
        <v>71</v>
      </c>
      <c r="B128" t="s">
        <v>72</v>
      </c>
      <c r="C128" s="1">
        <v>206.87</v>
      </c>
      <c r="D128" s="3">
        <v>0.14649999999999999</v>
      </c>
      <c r="E128" s="1">
        <v>37.51</v>
      </c>
      <c r="F128" s="1">
        <v>282.55</v>
      </c>
      <c r="G128" s="1">
        <v>0</v>
      </c>
      <c r="H128" s="1">
        <v>1618.6</v>
      </c>
    </row>
    <row r="129" spans="1:8" x14ac:dyDescent="0.25">
      <c r="A129" t="s">
        <v>79</v>
      </c>
      <c r="B129" t="s">
        <v>80</v>
      </c>
      <c r="C129" s="1">
        <v>369.2</v>
      </c>
      <c r="D129" s="3">
        <v>0.92720000000000002</v>
      </c>
      <c r="E129" s="1">
        <v>20</v>
      </c>
      <c r="F129" s="1">
        <v>363</v>
      </c>
      <c r="G129" s="1">
        <v>0</v>
      </c>
      <c r="H129" s="1">
        <v>767.4</v>
      </c>
    </row>
    <row r="130" spans="1:8" x14ac:dyDescent="0.25">
      <c r="A130" t="s">
        <v>71</v>
      </c>
      <c r="B130" t="s">
        <v>72</v>
      </c>
      <c r="C130" s="1">
        <v>275.70999999999998</v>
      </c>
      <c r="D130" s="3">
        <v>0.1482</v>
      </c>
      <c r="E130" s="1">
        <v>49.51</v>
      </c>
      <c r="F130" s="1">
        <v>372.97</v>
      </c>
      <c r="G130" s="1">
        <v>0</v>
      </c>
      <c r="H130" s="1">
        <v>2136.5500000000002</v>
      </c>
    </row>
    <row r="131" spans="1:8" x14ac:dyDescent="0.25">
      <c r="A131" t="s">
        <v>81</v>
      </c>
      <c r="B131" t="s">
        <v>82</v>
      </c>
      <c r="C131" s="1">
        <v>34.840000000000003</v>
      </c>
      <c r="D131" s="3">
        <v>6.4299999999999996E-2</v>
      </c>
      <c r="E131" s="1">
        <v>5.54</v>
      </c>
      <c r="F131" s="1">
        <v>454.53</v>
      </c>
      <c r="G131" s="1">
        <v>0</v>
      </c>
      <c r="H131" s="1">
        <v>576.29999999999995</v>
      </c>
    </row>
    <row r="132" spans="1:8" x14ac:dyDescent="0.25">
      <c r="A132" t="s">
        <v>65</v>
      </c>
      <c r="B132" t="s">
        <v>66</v>
      </c>
      <c r="C132" s="1">
        <v>-82.66</v>
      </c>
      <c r="D132" s="3">
        <v>-0.1807</v>
      </c>
      <c r="E132" s="1">
        <v>127.65</v>
      </c>
      <c r="F132" s="1">
        <v>461</v>
      </c>
      <c r="G132" s="1">
        <v>0</v>
      </c>
      <c r="H132" s="1">
        <v>-540</v>
      </c>
    </row>
    <row r="133" spans="1:8" x14ac:dyDescent="0.25">
      <c r="A133" t="s">
        <v>131</v>
      </c>
      <c r="B133" t="s">
        <v>149</v>
      </c>
      <c r="C133" s="1">
        <v>258.33999999999997</v>
      </c>
      <c r="D133" s="3">
        <v>0.63419999999999999</v>
      </c>
      <c r="E133" s="1">
        <v>5.5</v>
      </c>
      <c r="F133" s="1">
        <v>483</v>
      </c>
      <c r="G133" s="1">
        <v>0</v>
      </c>
      <c r="H133" s="1">
        <v>-149</v>
      </c>
    </row>
    <row r="134" spans="1:8" x14ac:dyDescent="0.25">
      <c r="A134" t="s">
        <v>61</v>
      </c>
      <c r="B134" t="s">
        <v>62</v>
      </c>
      <c r="C134" s="1">
        <v>-28.04</v>
      </c>
      <c r="D134" s="3">
        <v>-1.54E-2</v>
      </c>
      <c r="E134" s="1">
        <v>60.66</v>
      </c>
      <c r="F134" s="1">
        <v>586.38</v>
      </c>
      <c r="G134" s="1">
        <v>0</v>
      </c>
      <c r="H134" s="1">
        <v>1796.56</v>
      </c>
    </row>
    <row r="135" spans="1:8" x14ac:dyDescent="0.25">
      <c r="A135" t="s">
        <v>53</v>
      </c>
      <c r="B135" t="s">
        <v>54</v>
      </c>
      <c r="C135" s="1">
        <v>-159.88</v>
      </c>
      <c r="D135" s="3">
        <v>-2.3400000000000001E-2</v>
      </c>
      <c r="E135" s="1">
        <v>152</v>
      </c>
      <c r="F135" s="1">
        <v>674.64</v>
      </c>
      <c r="G135" s="1">
        <v>0</v>
      </c>
      <c r="H135" s="1">
        <v>6684</v>
      </c>
    </row>
    <row r="136" spans="1:8" x14ac:dyDescent="0.25">
      <c r="A136" t="s">
        <v>77</v>
      </c>
      <c r="B136" t="s">
        <v>78</v>
      </c>
      <c r="C136" s="1">
        <v>5838.58</v>
      </c>
      <c r="D136" s="3">
        <v>1.5604</v>
      </c>
      <c r="E136" s="1">
        <v>27.72</v>
      </c>
      <c r="F136" s="1">
        <v>695.86</v>
      </c>
      <c r="G136" s="1">
        <v>0</v>
      </c>
      <c r="H136" s="1">
        <v>9580.34</v>
      </c>
    </row>
    <row r="137" spans="1:8" x14ac:dyDescent="0.25">
      <c r="A137" t="s">
        <v>57</v>
      </c>
      <c r="B137" t="s">
        <v>58</v>
      </c>
      <c r="C137" s="1">
        <v>-14.95</v>
      </c>
      <c r="D137" s="3">
        <v>-0.29299999999999998</v>
      </c>
      <c r="E137" s="1">
        <v>1.19</v>
      </c>
      <c r="F137" s="1">
        <v>880.17</v>
      </c>
      <c r="G137" s="1">
        <v>0</v>
      </c>
      <c r="H137" s="1">
        <v>36.07</v>
      </c>
    </row>
    <row r="138" spans="1:8" x14ac:dyDescent="0.25">
      <c r="A138" t="s">
        <v>105</v>
      </c>
      <c r="B138" t="s">
        <v>106</v>
      </c>
      <c r="C138" s="1">
        <v>0</v>
      </c>
      <c r="D138" s="3">
        <v>0</v>
      </c>
      <c r="E138" s="1">
        <v>0</v>
      </c>
      <c r="F138" s="1">
        <v>891</v>
      </c>
      <c r="G138" s="1">
        <v>0</v>
      </c>
      <c r="H138" s="1">
        <v>0</v>
      </c>
    </row>
    <row r="139" spans="1:8" x14ac:dyDescent="0.25">
      <c r="A139" t="s">
        <v>73</v>
      </c>
      <c r="B139" t="s">
        <v>74</v>
      </c>
      <c r="C139" s="1">
        <v>1939.11</v>
      </c>
      <c r="D139" s="3">
        <v>0.60350000000000004</v>
      </c>
      <c r="E139" s="1">
        <v>126.09</v>
      </c>
      <c r="F139" s="1">
        <v>924.88</v>
      </c>
      <c r="G139" s="1">
        <v>0</v>
      </c>
      <c r="H139" s="1">
        <v>5152.1899999999996</v>
      </c>
    </row>
    <row r="140" spans="1:8" x14ac:dyDescent="0.25">
      <c r="A140" t="s">
        <v>69</v>
      </c>
      <c r="B140" t="s">
        <v>70</v>
      </c>
      <c r="C140" s="1">
        <v>1251.9000000000001</v>
      </c>
      <c r="D140" s="3">
        <v>0.18540000000000001</v>
      </c>
      <c r="E140" s="1">
        <v>1.08</v>
      </c>
      <c r="F140" s="1">
        <v>1207.8399999999999</v>
      </c>
      <c r="G140" s="1">
        <v>0</v>
      </c>
      <c r="H140" s="1">
        <v>8003.16</v>
      </c>
    </row>
    <row r="141" spans="1:8" x14ac:dyDescent="0.25">
      <c r="A141" t="s">
        <v>69</v>
      </c>
      <c r="B141" t="s">
        <v>70</v>
      </c>
      <c r="C141" s="1">
        <v>1935.21</v>
      </c>
      <c r="D141" s="3">
        <v>0.2384</v>
      </c>
      <c r="E141" s="1">
        <v>1.36</v>
      </c>
      <c r="F141" s="1">
        <v>1732.28</v>
      </c>
      <c r="G141" s="1">
        <v>0</v>
      </c>
      <c r="H141" s="1">
        <v>10053.64</v>
      </c>
    </row>
    <row r="142" spans="1:8" x14ac:dyDescent="0.25">
      <c r="A142" t="s">
        <v>65</v>
      </c>
      <c r="B142" t="s">
        <v>66</v>
      </c>
      <c r="C142" s="1">
        <v>4140.75</v>
      </c>
      <c r="D142" s="3">
        <v>1.0580000000000001</v>
      </c>
      <c r="E142" s="1">
        <v>65</v>
      </c>
      <c r="F142" s="1">
        <v>2015</v>
      </c>
      <c r="G142" s="1">
        <v>0</v>
      </c>
      <c r="H142" s="1">
        <v>8054.5</v>
      </c>
    </row>
    <row r="143" spans="1:8" x14ac:dyDescent="0.25">
      <c r="A143" t="s">
        <v>75</v>
      </c>
      <c r="B143" t="s">
        <v>76</v>
      </c>
      <c r="C143" s="1">
        <v>2090.64</v>
      </c>
      <c r="D143" s="3">
        <v>0.37619999999999998</v>
      </c>
      <c r="E143" s="1">
        <v>139.26</v>
      </c>
      <c r="F143" s="1">
        <v>2090.64</v>
      </c>
      <c r="G143" s="1">
        <v>0</v>
      </c>
      <c r="H143" s="1">
        <v>7647.86</v>
      </c>
    </row>
    <row r="144" spans="1:8" x14ac:dyDescent="0.25">
      <c r="A144" t="s">
        <v>67</v>
      </c>
      <c r="B144" t="s">
        <v>68</v>
      </c>
      <c r="C144" s="1">
        <v>2943.54</v>
      </c>
      <c r="D144" s="3">
        <v>0.40050000000000002</v>
      </c>
      <c r="E144" s="1">
        <v>70.73</v>
      </c>
      <c r="F144" s="1">
        <v>2115.85</v>
      </c>
      <c r="G144" s="1">
        <v>0</v>
      </c>
      <c r="H144" s="1">
        <v>10293.39</v>
      </c>
    </row>
    <row r="145" spans="1:8" x14ac:dyDescent="0.25">
      <c r="A145" t="s">
        <v>75</v>
      </c>
      <c r="B145" t="s">
        <v>76</v>
      </c>
      <c r="C145" s="1">
        <v>802.16</v>
      </c>
      <c r="D145" s="3">
        <v>0.40539999999999998</v>
      </c>
      <c r="E145" s="1">
        <v>50.64</v>
      </c>
      <c r="F145" s="1">
        <v>3055.16</v>
      </c>
      <c r="G145" s="1">
        <v>0</v>
      </c>
      <c r="H145" s="1">
        <v>2781.04</v>
      </c>
    </row>
    <row r="146" spans="1:8" x14ac:dyDescent="0.25">
      <c r="A146" t="s">
        <v>77</v>
      </c>
      <c r="B146" t="s">
        <v>78</v>
      </c>
      <c r="C146" s="1">
        <v>0</v>
      </c>
      <c r="D146" s="3">
        <v>0</v>
      </c>
      <c r="E146" s="1">
        <v>0</v>
      </c>
      <c r="F146" s="1">
        <v>3653</v>
      </c>
      <c r="G146" s="1">
        <v>0</v>
      </c>
      <c r="H146" s="1">
        <v>0</v>
      </c>
    </row>
    <row r="147" spans="1:8" x14ac:dyDescent="0.25">
      <c r="A147" t="s">
        <v>69</v>
      </c>
      <c r="B147" t="s">
        <v>70</v>
      </c>
      <c r="C147" s="1">
        <v>2859.93</v>
      </c>
      <c r="D147" s="3">
        <v>0.1396</v>
      </c>
      <c r="E147" s="1">
        <v>3.15</v>
      </c>
      <c r="F147" s="1">
        <v>3999.7</v>
      </c>
      <c r="G147" s="1">
        <v>0</v>
      </c>
      <c r="H147" s="1">
        <v>23342.55</v>
      </c>
    </row>
    <row r="148" spans="1:8" x14ac:dyDescent="0.25">
      <c r="A148" t="s">
        <v>105</v>
      </c>
      <c r="B148" t="s">
        <v>106</v>
      </c>
      <c r="C148" s="1">
        <v>241.21</v>
      </c>
      <c r="D148" s="3">
        <v>0.81089999999999995</v>
      </c>
      <c r="E148" s="1">
        <v>-9.64</v>
      </c>
      <c r="F148" s="1">
        <v>4748.22</v>
      </c>
      <c r="G148" s="1">
        <v>0</v>
      </c>
      <c r="H148" s="1">
        <v>538.69000000000005</v>
      </c>
    </row>
    <row r="149" spans="1:8" x14ac:dyDescent="0.25">
      <c r="A149" t="s">
        <v>150</v>
      </c>
      <c r="B149" t="s">
        <v>151</v>
      </c>
      <c r="C149" s="1">
        <v>0</v>
      </c>
      <c r="D149" s="3">
        <v>0</v>
      </c>
      <c r="E149" s="1">
        <v>0</v>
      </c>
      <c r="F149" s="1">
        <v>5555</v>
      </c>
      <c r="G149" s="1">
        <v>0</v>
      </c>
      <c r="H149" s="1">
        <v>0</v>
      </c>
    </row>
    <row r="150" spans="1:8" x14ac:dyDescent="0.25">
      <c r="A150" t="s">
        <v>105</v>
      </c>
      <c r="B150" t="s">
        <v>106</v>
      </c>
      <c r="C150" s="1">
        <v>322.52</v>
      </c>
      <c r="D150" s="3">
        <v>0.81499999999999995</v>
      </c>
      <c r="E150" s="1">
        <v>-16.18</v>
      </c>
      <c r="F150" s="1">
        <v>5792.3</v>
      </c>
      <c r="G150" s="1">
        <v>0</v>
      </c>
      <c r="H150" s="1">
        <v>718.26</v>
      </c>
    </row>
    <row r="151" spans="1:8" x14ac:dyDescent="0.25">
      <c r="B151" t="s">
        <v>117</v>
      </c>
      <c r="C151" s="1">
        <v>23070.57</v>
      </c>
      <c r="D151" s="3">
        <v>0.2049</v>
      </c>
      <c r="E151" s="1">
        <v>983.27</v>
      </c>
      <c r="F151" s="1">
        <v>42405.64</v>
      </c>
      <c r="G151" s="1">
        <v>0</v>
      </c>
      <c r="H151" s="1">
        <v>130722.79</v>
      </c>
    </row>
    <row r="153" spans="1:8" x14ac:dyDescent="0.25">
      <c r="A153" t="s">
        <v>152</v>
      </c>
    </row>
    <row r="154" spans="1:8" x14ac:dyDescent="0.25">
      <c r="A154" t="s">
        <v>153</v>
      </c>
      <c r="B154" s="1">
        <v>187290.27</v>
      </c>
    </row>
    <row r="155" spans="1:8" x14ac:dyDescent="0.25">
      <c r="A155" t="s">
        <v>154</v>
      </c>
      <c r="B155" s="1">
        <v>126078.82</v>
      </c>
    </row>
    <row r="156" spans="1:8" x14ac:dyDescent="0.25">
      <c r="A156" t="s">
        <v>155</v>
      </c>
      <c r="B156" s="1">
        <v>40558.480000000003</v>
      </c>
    </row>
    <row r="157" spans="1:8" x14ac:dyDescent="0.25">
      <c r="A157" t="s">
        <v>156</v>
      </c>
      <c r="B157" s="1">
        <v>112.22</v>
      </c>
    </row>
    <row r="158" spans="1:8" x14ac:dyDescent="0.25">
      <c r="A158" t="s">
        <v>157</v>
      </c>
      <c r="B158" s="1">
        <v>0</v>
      </c>
    </row>
    <row r="159" spans="1:8" x14ac:dyDescent="0.25">
      <c r="A159" t="s">
        <v>158</v>
      </c>
      <c r="B159" s="1">
        <v>112.22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Whoever</dc:creator>
  <cp:lastModifiedBy>Whoever</cp:lastModifiedBy>
  <dcterms:created xsi:type="dcterms:W3CDTF">2025-09-23T14:18:08Z</dcterms:created>
  <dcterms:modified xsi:type="dcterms:W3CDTF">2025-09-23T14:18:08Z</dcterms:modified>
</cp:coreProperties>
</file>